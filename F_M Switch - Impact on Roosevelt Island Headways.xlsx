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effkloy/Dropbox/Repos/Personal/mta-data/"/>
    </mc:Choice>
  </mc:AlternateContent>
  <xr:revisionPtr revIDLastSave="0" documentId="13_ncr:1_{F7A089DE-FE13-D84D-B73F-764FEAB12780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D41" i="1"/>
  <c r="J38" i="1"/>
  <c r="D38" i="1"/>
  <c r="J35" i="1"/>
  <c r="D35" i="1"/>
  <c r="J32" i="1"/>
  <c r="D32" i="1"/>
  <c r="J29" i="1"/>
  <c r="D29" i="1"/>
  <c r="J23" i="1"/>
  <c r="D23" i="1"/>
  <c r="J20" i="1"/>
  <c r="D20" i="1"/>
  <c r="J17" i="1"/>
  <c r="D17" i="1"/>
  <c r="J14" i="1"/>
  <c r="D14" i="1"/>
  <c r="J11" i="1"/>
  <c r="D11" i="1"/>
</calcChain>
</file>

<file path=xl/sharedStrings.xml><?xml version="1.0" encoding="utf-8"?>
<sst xmlns="http://schemas.openxmlformats.org/spreadsheetml/2006/main" count="47" uniqueCount="27">
  <si>
    <t>F/M Switch - Impact on Roosevelt Island Headways</t>
  </si>
  <si>
    <t>Data is derived from combined runs from F/M runs through Roosevelt Island</t>
  </si>
  <si>
    <t>Northbound</t>
  </si>
  <si>
    <t>Southbound</t>
  </si>
  <si>
    <t>____________ Average Headway (mins) ____________</t>
  </si>
  <si>
    <t>% Change</t>
  </si>
  <si>
    <t>08/01/2025 -</t>
  </si>
  <si>
    <t>12/08/2025 -</t>
  </si>
  <si>
    <t>After/Before</t>
  </si>
  <si>
    <t>Timetable Promise</t>
  </si>
  <si>
    <t>Date ranges:</t>
  </si>
  <si>
    <t>12/07/2025</t>
  </si>
  <si>
    <t>01/19/2026</t>
  </si>
  <si>
    <t>08/11/2025 -</t>
  </si>
  <si>
    <t>Present</t>
  </si>
  <si>
    <t>Weekdays</t>
  </si>
  <si>
    <t>Late Night</t>
  </si>
  <si>
    <t>12am - 5.59am</t>
  </si>
  <si>
    <t>AM Rush</t>
  </si>
  <si>
    <t>6am - 9.59am</t>
  </si>
  <si>
    <t>Midday</t>
  </si>
  <si>
    <t>10am - 2.59pm</t>
  </si>
  <si>
    <t>PM Rush</t>
  </si>
  <si>
    <t>3pm - 7.59pm</t>
  </si>
  <si>
    <t>Evening</t>
  </si>
  <si>
    <t>8pm - 11.59pm</t>
  </si>
  <si>
    <t>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</si>
</sst>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color rgb="FF000000"/>
      <name val="Arial"/>
      <scheme val="minor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  <scheme val="minor"/>
    </font>
    <font>
      <sz val="10"/>
      <color rgb="FF6AA84F"/>
      <name val="Arial"/>
      <family val="2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200025</xdr:rowOff>
    </xdr:from>
    <xdr:ext cx="10563225" cy="75342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28575</xdr:colOff>
      <xdr:row>39</xdr:row>
      <xdr:rowOff>180975</xdr:rowOff>
    </xdr:from>
    <xdr:ext cx="342900" cy="53340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37</xdr:row>
      <xdr:rowOff>47625</xdr:rowOff>
    </xdr:from>
    <xdr:ext cx="342900" cy="533400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34</xdr:row>
      <xdr:rowOff>47625</xdr:rowOff>
    </xdr:from>
    <xdr:ext cx="342900" cy="533400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22</xdr:row>
      <xdr:rowOff>47625</xdr:rowOff>
    </xdr:from>
    <xdr:ext cx="342900" cy="533400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10</xdr:row>
      <xdr:rowOff>47625</xdr:rowOff>
    </xdr:from>
    <xdr:ext cx="342900" cy="53340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13</xdr:row>
      <xdr:rowOff>47625</xdr:rowOff>
    </xdr:from>
    <xdr:ext cx="342900" cy="533400"/>
    <xdr:pic>
      <xdr:nvPicPr>
        <xdr:cNvPr id="10" name="image2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16</xdr:row>
      <xdr:rowOff>47625</xdr:rowOff>
    </xdr:from>
    <xdr:ext cx="342900" cy="533400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19</xdr:row>
      <xdr:rowOff>47625</xdr:rowOff>
    </xdr:from>
    <xdr:ext cx="342900" cy="533400"/>
    <xdr:pic>
      <xdr:nvPicPr>
        <xdr:cNvPr id="12" name="image2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10</xdr:row>
      <xdr:rowOff>47625</xdr:rowOff>
    </xdr:from>
    <xdr:ext cx="342900" cy="533400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13</xdr:row>
      <xdr:rowOff>47625</xdr:rowOff>
    </xdr:from>
    <xdr:ext cx="342900" cy="533400"/>
    <xdr:pic>
      <xdr:nvPicPr>
        <xdr:cNvPr id="14" name="image2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16</xdr:row>
      <xdr:rowOff>47625</xdr:rowOff>
    </xdr:from>
    <xdr:ext cx="342900" cy="533400"/>
    <xdr:pic>
      <xdr:nvPicPr>
        <xdr:cNvPr id="15" name="image2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19</xdr:row>
      <xdr:rowOff>47625</xdr:rowOff>
    </xdr:from>
    <xdr:ext cx="342900" cy="533400"/>
    <xdr:pic>
      <xdr:nvPicPr>
        <xdr:cNvPr id="16" name="image2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22</xdr:row>
      <xdr:rowOff>47625</xdr:rowOff>
    </xdr:from>
    <xdr:ext cx="342900" cy="533400"/>
    <xdr:pic>
      <xdr:nvPicPr>
        <xdr:cNvPr id="17" name="image2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28</xdr:row>
      <xdr:rowOff>47625</xdr:rowOff>
    </xdr:from>
    <xdr:ext cx="342900" cy="533400"/>
    <xdr:pic>
      <xdr:nvPicPr>
        <xdr:cNvPr id="18" name="image2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31</xdr:row>
      <xdr:rowOff>47625</xdr:rowOff>
    </xdr:from>
    <xdr:ext cx="342900" cy="533400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34</xdr:row>
      <xdr:rowOff>47625</xdr:rowOff>
    </xdr:from>
    <xdr:ext cx="342900" cy="533400"/>
    <xdr:pic>
      <xdr:nvPicPr>
        <xdr:cNvPr id="20" name="image2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37</xdr:row>
      <xdr:rowOff>47625</xdr:rowOff>
    </xdr:from>
    <xdr:ext cx="342900" cy="533400"/>
    <xdr:pic>
      <xdr:nvPicPr>
        <xdr:cNvPr id="21" name="image2.png" title="Imag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38100</xdr:colOff>
      <xdr:row>39</xdr:row>
      <xdr:rowOff>180975</xdr:rowOff>
    </xdr:from>
    <xdr:ext cx="342900" cy="533400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31</xdr:row>
      <xdr:rowOff>47625</xdr:rowOff>
    </xdr:from>
    <xdr:ext cx="342900" cy="533400"/>
    <xdr:pic>
      <xdr:nvPicPr>
        <xdr:cNvPr id="23" name="image2.png" title="Imag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38100</xdr:colOff>
      <xdr:row>28</xdr:row>
      <xdr:rowOff>47625</xdr:rowOff>
    </xdr:from>
    <xdr:ext cx="342900" cy="533400"/>
    <xdr:pic>
      <xdr:nvPicPr>
        <xdr:cNvPr id="24" name="image2.png" title="Imag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2"/>
  <sheetViews>
    <sheetView tabSelected="1" workbookViewId="0">
      <selection activeCell="C23" sqref="C23"/>
    </sheetView>
  </sheetViews>
  <sheetFormatPr baseColWidth="10" defaultColWidth="12.6640625" defaultRowHeight="15.75" customHeight="1" x14ac:dyDescent="0.15"/>
  <cols>
    <col min="2" max="11" width="12.6640625" customWidth="1"/>
  </cols>
  <sheetData>
    <row r="1" spans="1:12" x14ac:dyDescent="0.2">
      <c r="A1" s="18" t="s">
        <v>0</v>
      </c>
      <c r="B1" s="17"/>
      <c r="C1" s="17"/>
      <c r="D1" s="17"/>
      <c r="E1" s="17"/>
      <c r="F1" s="1"/>
      <c r="G1" s="1"/>
      <c r="H1" s="1"/>
      <c r="I1" s="1"/>
      <c r="J1" s="1"/>
      <c r="K1" s="2"/>
    </row>
    <row r="2" spans="1:12" ht="15.75" customHeight="1" x14ac:dyDescent="0.15">
      <c r="A2" s="2" t="s">
        <v>1</v>
      </c>
      <c r="B2" s="1"/>
      <c r="C2" s="3"/>
      <c r="D2" s="1"/>
      <c r="E2" s="1"/>
      <c r="F2" s="1"/>
      <c r="G2" s="2"/>
      <c r="H2" s="2"/>
      <c r="I2" s="3"/>
      <c r="J2" s="1"/>
      <c r="K2" s="2"/>
    </row>
    <row r="3" spans="1:12" ht="15.75" customHeight="1" x14ac:dyDescent="0.15">
      <c r="A3" s="2"/>
      <c r="B3" s="1"/>
      <c r="C3" s="3" t="s">
        <v>2</v>
      </c>
      <c r="D3" s="1"/>
      <c r="E3" s="1"/>
      <c r="F3" s="1"/>
      <c r="G3" s="2"/>
      <c r="H3" s="2"/>
      <c r="I3" s="3" t="s">
        <v>3</v>
      </c>
      <c r="J3" s="1"/>
      <c r="K3" s="2"/>
    </row>
    <row r="4" spans="1:12" ht="15.75" customHeight="1" x14ac:dyDescent="0.15">
      <c r="A4" s="2"/>
      <c r="B4" s="16" t="s">
        <v>4</v>
      </c>
      <c r="C4" s="17"/>
      <c r="D4" s="17"/>
      <c r="E4" s="17"/>
      <c r="F4" s="3"/>
      <c r="G4" s="3"/>
      <c r="H4" s="16" t="s">
        <v>4</v>
      </c>
      <c r="I4" s="17"/>
      <c r="J4" s="17"/>
      <c r="K4" s="17"/>
    </row>
    <row r="5" spans="1:12" ht="15.75" customHeight="1" x14ac:dyDescent="0.15">
      <c r="A5" s="2"/>
      <c r="B5" s="3"/>
      <c r="C5" s="3"/>
      <c r="D5" s="3" t="s">
        <v>5</v>
      </c>
      <c r="E5" s="3"/>
      <c r="G5" s="3"/>
      <c r="H5" s="3"/>
      <c r="I5" s="3"/>
      <c r="J5" s="3" t="s">
        <v>5</v>
      </c>
    </row>
    <row r="6" spans="1:12" ht="15.75" customHeight="1" x14ac:dyDescent="0.15">
      <c r="A6" s="2"/>
      <c r="B6" s="3" t="s">
        <v>6</v>
      </c>
      <c r="C6" s="3" t="s">
        <v>7</v>
      </c>
      <c r="D6" s="3" t="s">
        <v>8</v>
      </c>
      <c r="E6" s="3"/>
      <c r="F6" s="3" t="s">
        <v>9</v>
      </c>
      <c r="H6" s="3" t="s">
        <v>6</v>
      </c>
      <c r="I6" s="3" t="s">
        <v>7</v>
      </c>
      <c r="J6" s="3" t="s">
        <v>8</v>
      </c>
      <c r="L6" s="3" t="s">
        <v>9</v>
      </c>
    </row>
    <row r="7" spans="1:12" ht="15.75" customHeight="1" x14ac:dyDescent="0.15">
      <c r="A7" s="2" t="s">
        <v>10</v>
      </c>
      <c r="B7" s="4" t="s">
        <v>11</v>
      </c>
      <c r="C7" s="4" t="s">
        <v>12</v>
      </c>
      <c r="D7" s="1"/>
      <c r="E7" s="1"/>
      <c r="F7" s="1" t="s">
        <v>13</v>
      </c>
      <c r="H7" s="4" t="s">
        <v>11</v>
      </c>
      <c r="I7" s="4" t="s">
        <v>12</v>
      </c>
      <c r="J7" s="2"/>
      <c r="L7" s="1" t="s">
        <v>13</v>
      </c>
    </row>
    <row r="8" spans="1:12" x14ac:dyDescent="0.2">
      <c r="A8" s="5"/>
      <c r="B8" s="6">
        <v>46363</v>
      </c>
      <c r="C8" s="6">
        <v>46042</v>
      </c>
      <c r="D8" s="1"/>
      <c r="E8" s="1"/>
      <c r="F8" s="1" t="s">
        <v>14</v>
      </c>
      <c r="H8" s="6">
        <v>46363</v>
      </c>
      <c r="I8" s="6">
        <v>46042</v>
      </c>
      <c r="J8" s="2"/>
      <c r="L8" s="1" t="s">
        <v>14</v>
      </c>
    </row>
    <row r="9" spans="1:12" x14ac:dyDescent="0.2">
      <c r="A9" s="5" t="s">
        <v>15</v>
      </c>
      <c r="B9" s="1"/>
      <c r="C9" s="1"/>
      <c r="D9" s="1"/>
      <c r="E9" s="1"/>
      <c r="F9" s="1"/>
      <c r="H9" s="1"/>
      <c r="I9" s="1"/>
      <c r="J9" s="2"/>
      <c r="L9" s="1"/>
    </row>
    <row r="10" spans="1:12" ht="15.75" customHeight="1" x14ac:dyDescent="0.15">
      <c r="A10" s="2"/>
      <c r="B10" s="1"/>
      <c r="C10" s="1"/>
      <c r="D10" s="1"/>
      <c r="E10" s="1"/>
      <c r="F10" s="1"/>
      <c r="H10" s="1"/>
      <c r="I10" s="1"/>
      <c r="J10" s="2"/>
      <c r="L10" s="1"/>
    </row>
    <row r="11" spans="1:12" ht="15.75" customHeight="1" x14ac:dyDescent="0.15">
      <c r="A11" s="7" t="s">
        <v>16</v>
      </c>
      <c r="B11" s="8">
        <v>9.3000000000000007</v>
      </c>
      <c r="C11" s="8">
        <v>10.5</v>
      </c>
      <c r="D11" s="9" t="str">
        <f>TEXT((C11-B11)/B11, "+0%;-0%")</f>
        <v>+13%</v>
      </c>
      <c r="E11" s="10"/>
      <c r="F11" s="11">
        <v>20</v>
      </c>
      <c r="H11" s="8">
        <v>10.6</v>
      </c>
      <c r="I11" s="8">
        <v>11.1</v>
      </c>
      <c r="J11" s="9" t="str">
        <f>TEXT((I11-H11)/H11, "+0%;-0%")</f>
        <v>+5%</v>
      </c>
      <c r="L11" s="11">
        <v>20</v>
      </c>
    </row>
    <row r="12" spans="1:12" ht="15.75" customHeight="1" x14ac:dyDescent="0.15">
      <c r="A12" s="12" t="s">
        <v>17</v>
      </c>
      <c r="B12" s="8"/>
      <c r="C12" s="8"/>
      <c r="D12" s="9"/>
      <c r="E12" s="10"/>
      <c r="F12" s="1"/>
      <c r="H12" s="8"/>
      <c r="I12" s="8"/>
      <c r="J12" s="13"/>
      <c r="L12" s="1"/>
    </row>
    <row r="13" spans="1:12" ht="15.75" customHeight="1" x14ac:dyDescent="0.15">
      <c r="A13" s="2"/>
      <c r="B13" s="8"/>
      <c r="C13" s="8"/>
      <c r="D13" s="9"/>
      <c r="E13" s="10"/>
      <c r="F13" s="1"/>
      <c r="H13" s="8"/>
      <c r="I13" s="8"/>
      <c r="J13" s="13"/>
      <c r="L13" s="1"/>
    </row>
    <row r="14" spans="1:12" ht="15.75" customHeight="1" x14ac:dyDescent="0.15">
      <c r="A14" s="7" t="s">
        <v>18</v>
      </c>
      <c r="B14" s="8">
        <v>17.899999999999999</v>
      </c>
      <c r="C14" s="8">
        <v>18.8</v>
      </c>
      <c r="D14" s="9" t="str">
        <f>TEXT((C14-B14)/B14, "+0%;-0%")</f>
        <v>+5%</v>
      </c>
      <c r="E14" s="14"/>
      <c r="F14" s="15">
        <v>5</v>
      </c>
      <c r="H14" s="8">
        <v>18.600000000000001</v>
      </c>
      <c r="I14" s="8">
        <v>19.7</v>
      </c>
      <c r="J14" s="9" t="str">
        <f>TEXT((I14-H14)/H14, "+0%;-0%")</f>
        <v>+6%</v>
      </c>
      <c r="L14" s="15">
        <v>5</v>
      </c>
    </row>
    <row r="15" spans="1:12" ht="15.75" customHeight="1" x14ac:dyDescent="0.15">
      <c r="A15" s="12" t="s">
        <v>19</v>
      </c>
      <c r="B15" s="8"/>
      <c r="C15" s="8"/>
      <c r="D15" s="9"/>
      <c r="E15" s="10"/>
      <c r="F15" s="1"/>
      <c r="H15" s="8"/>
      <c r="I15" s="8"/>
      <c r="J15" s="13"/>
      <c r="L15" s="1"/>
    </row>
    <row r="16" spans="1:12" ht="15.75" customHeight="1" x14ac:dyDescent="0.15">
      <c r="A16" s="2"/>
      <c r="B16" s="8"/>
      <c r="C16" s="8"/>
      <c r="D16" s="9"/>
      <c r="E16" s="10"/>
      <c r="F16" s="1"/>
      <c r="H16" s="8"/>
      <c r="I16" s="8"/>
      <c r="J16" s="13"/>
      <c r="L16" s="1"/>
    </row>
    <row r="17" spans="1:12" ht="15.75" customHeight="1" x14ac:dyDescent="0.15">
      <c r="A17" s="7" t="s">
        <v>20</v>
      </c>
      <c r="B17" s="8">
        <v>7.6</v>
      </c>
      <c r="C17" s="8">
        <v>10.3</v>
      </c>
      <c r="D17" s="9" t="str">
        <f>TEXT((C17-B17)/B17, "+0%;-0%")</f>
        <v>+36%</v>
      </c>
      <c r="E17" s="10"/>
      <c r="F17" s="15">
        <v>8</v>
      </c>
      <c r="H17" s="8">
        <v>5.8</v>
      </c>
      <c r="I17" s="8">
        <v>9.6</v>
      </c>
      <c r="J17" s="9" t="str">
        <f>TEXT((I17-H17)/H17, "+0%;-0%")</f>
        <v>+66%</v>
      </c>
      <c r="L17" s="15">
        <v>8</v>
      </c>
    </row>
    <row r="18" spans="1:12" ht="15.75" customHeight="1" x14ac:dyDescent="0.15">
      <c r="A18" s="12" t="s">
        <v>21</v>
      </c>
      <c r="B18" s="8"/>
      <c r="C18" s="8"/>
      <c r="D18" s="9"/>
      <c r="E18" s="10"/>
      <c r="F18" s="1"/>
      <c r="H18" s="8"/>
      <c r="I18" s="8"/>
      <c r="J18" s="13"/>
      <c r="L18" s="1"/>
    </row>
    <row r="19" spans="1:12" ht="15.75" customHeight="1" x14ac:dyDescent="0.15">
      <c r="A19" s="2"/>
      <c r="B19" s="8"/>
      <c r="C19" s="8"/>
      <c r="D19" s="9"/>
      <c r="E19" s="10"/>
      <c r="F19" s="1"/>
      <c r="H19" s="8"/>
      <c r="I19" s="8"/>
      <c r="J19" s="13"/>
      <c r="L19" s="1"/>
    </row>
    <row r="20" spans="1:12" ht="15.75" customHeight="1" x14ac:dyDescent="0.15">
      <c r="A20" s="7" t="s">
        <v>22</v>
      </c>
      <c r="B20" s="8">
        <v>7.1</v>
      </c>
      <c r="C20" s="8">
        <v>8.6999999999999993</v>
      </c>
      <c r="D20" s="9" t="str">
        <f>TEXT((C20-B20)/B20, "+0%;-0%")</f>
        <v>+23%</v>
      </c>
      <c r="E20" s="10"/>
      <c r="F20" s="15">
        <v>6</v>
      </c>
      <c r="H20" s="8">
        <v>7.3</v>
      </c>
      <c r="I20" s="8">
        <v>8.6999999999999993</v>
      </c>
      <c r="J20" s="9" t="str">
        <f>TEXT((I20-H20)/H20, "+0%;-0%")</f>
        <v>+19%</v>
      </c>
      <c r="L20" s="15">
        <v>6</v>
      </c>
    </row>
    <row r="21" spans="1:12" ht="15.75" customHeight="1" x14ac:dyDescent="0.15">
      <c r="A21" s="12" t="s">
        <v>23</v>
      </c>
      <c r="B21" s="8"/>
      <c r="C21" s="8"/>
      <c r="D21" s="9"/>
      <c r="E21" s="10"/>
      <c r="F21" s="1"/>
      <c r="H21" s="8"/>
      <c r="I21" s="8"/>
      <c r="J21" s="13"/>
      <c r="L21" s="1"/>
    </row>
    <row r="22" spans="1:12" ht="15.75" customHeight="1" x14ac:dyDescent="0.15">
      <c r="A22" s="2"/>
      <c r="B22" s="8"/>
      <c r="C22" s="8"/>
      <c r="D22" s="9"/>
      <c r="E22" s="10"/>
      <c r="F22" s="1"/>
      <c r="H22" s="8"/>
      <c r="I22" s="8"/>
      <c r="J22" s="13"/>
      <c r="L22" s="1"/>
    </row>
    <row r="23" spans="1:12" ht="15.75" customHeight="1" x14ac:dyDescent="0.15">
      <c r="A23" s="7" t="s">
        <v>24</v>
      </c>
      <c r="B23" s="8">
        <v>5.3</v>
      </c>
      <c r="C23" s="8">
        <v>8.5</v>
      </c>
      <c r="D23" s="9" t="str">
        <f>TEXT((C23-B23)/B23, "+0%;-0%")</f>
        <v>+60%</v>
      </c>
      <c r="E23" s="10"/>
      <c r="F23" s="1">
        <v>8</v>
      </c>
      <c r="H23" s="8">
        <v>5.9</v>
      </c>
      <c r="I23" s="8">
        <v>8.5</v>
      </c>
      <c r="J23" s="9" t="str">
        <f>TEXT((I23-H23)/H23, "+0%;-0%")</f>
        <v>+44%</v>
      </c>
      <c r="L23" s="1">
        <v>8</v>
      </c>
    </row>
    <row r="24" spans="1:12" ht="15.75" customHeight="1" x14ac:dyDescent="0.15">
      <c r="A24" s="12" t="s">
        <v>25</v>
      </c>
      <c r="B24" s="1"/>
      <c r="C24" s="1"/>
      <c r="D24" s="9"/>
      <c r="E24" s="10"/>
      <c r="F24" s="1"/>
      <c r="H24" s="1"/>
      <c r="I24" s="1"/>
      <c r="J24" s="13"/>
      <c r="L24" s="1"/>
    </row>
    <row r="25" spans="1:12" ht="15.75" customHeight="1" x14ac:dyDescent="0.15">
      <c r="A25" s="2"/>
      <c r="B25" s="1"/>
      <c r="C25" s="1"/>
      <c r="D25" s="9"/>
      <c r="E25" s="10"/>
      <c r="F25" s="1"/>
      <c r="H25" s="1"/>
      <c r="I25" s="1"/>
      <c r="J25" s="13"/>
      <c r="L25" s="1"/>
    </row>
    <row r="26" spans="1:12" ht="15.75" customHeight="1" x14ac:dyDescent="0.15">
      <c r="A26" s="2"/>
      <c r="B26" s="1"/>
      <c r="C26" s="1"/>
      <c r="D26" s="9"/>
      <c r="F26" s="1"/>
      <c r="H26" s="1"/>
      <c r="I26" s="1"/>
      <c r="J26" s="13"/>
      <c r="L26" s="1"/>
    </row>
    <row r="27" spans="1:12" x14ac:dyDescent="0.2">
      <c r="A27" s="5" t="s">
        <v>26</v>
      </c>
      <c r="B27" s="1"/>
      <c r="C27" s="1"/>
      <c r="D27" s="9"/>
      <c r="E27" s="10"/>
      <c r="F27" s="1"/>
      <c r="H27" s="1"/>
      <c r="I27" s="1"/>
      <c r="J27" s="13"/>
      <c r="L27" s="1"/>
    </row>
    <row r="28" spans="1:12" ht="15.75" customHeight="1" x14ac:dyDescent="0.15">
      <c r="A28" s="2"/>
      <c r="B28" s="1"/>
      <c r="C28" s="1"/>
      <c r="D28" s="9"/>
      <c r="E28" s="10"/>
      <c r="F28" s="1"/>
      <c r="H28" s="1"/>
      <c r="I28" s="1"/>
      <c r="J28" s="13"/>
      <c r="L28" s="1"/>
    </row>
    <row r="29" spans="1:12" ht="15.75" customHeight="1" x14ac:dyDescent="0.15">
      <c r="A29" s="7" t="s">
        <v>16</v>
      </c>
      <c r="B29" s="8">
        <v>10.199999999999999</v>
      </c>
      <c r="C29" s="8">
        <v>11.2</v>
      </c>
      <c r="D29" s="9" t="str">
        <f>TEXT((C29-B29)/B29, "+0%;-0%")</f>
        <v>+10%</v>
      </c>
      <c r="E29" s="1"/>
      <c r="F29" s="11">
        <v>20</v>
      </c>
      <c r="H29" s="8">
        <v>11.3</v>
      </c>
      <c r="I29" s="8">
        <v>11.5</v>
      </c>
      <c r="J29" s="9" t="str">
        <f>TEXT((I29-H29)/H29, "+0%;-0%")</f>
        <v>+2%</v>
      </c>
      <c r="L29" s="11">
        <v>20</v>
      </c>
    </row>
    <row r="30" spans="1:12" ht="15.75" customHeight="1" x14ac:dyDescent="0.15">
      <c r="A30" s="12" t="s">
        <v>17</v>
      </c>
      <c r="B30" s="8"/>
      <c r="C30" s="8"/>
      <c r="D30" s="9"/>
      <c r="E30" s="1"/>
      <c r="F30" s="1"/>
      <c r="H30" s="8"/>
      <c r="I30" s="8"/>
      <c r="J30" s="13"/>
      <c r="L30" s="1"/>
    </row>
    <row r="31" spans="1:12" ht="15.75" customHeight="1" x14ac:dyDescent="0.15">
      <c r="A31" s="2"/>
      <c r="B31" s="8"/>
      <c r="C31" s="8"/>
      <c r="D31" s="9"/>
      <c r="E31" s="1"/>
      <c r="F31" s="1"/>
      <c r="H31" s="8"/>
      <c r="I31" s="8"/>
      <c r="J31" s="13"/>
      <c r="L31" s="1"/>
    </row>
    <row r="32" spans="1:12" ht="15.75" customHeight="1" x14ac:dyDescent="0.15">
      <c r="A32" s="7" t="s">
        <v>18</v>
      </c>
      <c r="B32" s="8">
        <v>20</v>
      </c>
      <c r="C32" s="8">
        <v>19</v>
      </c>
      <c r="D32" s="9" t="str">
        <f>TEXT((C32-B32)/B32, "+0%;-0%")</f>
        <v>-5%</v>
      </c>
      <c r="E32" s="1"/>
      <c r="F32" s="15">
        <v>12</v>
      </c>
      <c r="H32" s="8">
        <v>19.899999999999999</v>
      </c>
      <c r="I32" s="8">
        <v>20</v>
      </c>
      <c r="J32" s="9" t="str">
        <f>TEXT((I32-H32)/H32, "+0%;-0%")</f>
        <v>+1%</v>
      </c>
      <c r="L32" s="15">
        <v>12</v>
      </c>
    </row>
    <row r="33" spans="1:13" ht="15.75" customHeight="1" x14ac:dyDescent="0.15">
      <c r="A33" s="12" t="s">
        <v>19</v>
      </c>
      <c r="B33" s="8"/>
      <c r="C33" s="8"/>
      <c r="D33" s="9"/>
      <c r="E33" s="1"/>
      <c r="F33" s="1"/>
      <c r="H33" s="8"/>
      <c r="I33" s="8"/>
      <c r="J33" s="13"/>
      <c r="L33" s="1"/>
    </row>
    <row r="34" spans="1:13" ht="15.75" customHeight="1" x14ac:dyDescent="0.15">
      <c r="A34" s="2"/>
      <c r="B34" s="8"/>
      <c r="C34" s="8"/>
      <c r="D34" s="9"/>
      <c r="E34" s="1"/>
      <c r="F34" s="1"/>
      <c r="H34" s="8"/>
      <c r="I34" s="8"/>
      <c r="J34" s="13"/>
      <c r="L34" s="1"/>
    </row>
    <row r="35" spans="1:13" ht="15.75" customHeight="1" x14ac:dyDescent="0.15">
      <c r="A35" s="7" t="s">
        <v>20</v>
      </c>
      <c r="B35" s="8">
        <v>15.7</v>
      </c>
      <c r="C35" s="8">
        <v>16.899999999999999</v>
      </c>
      <c r="D35" s="9" t="str">
        <f>TEXT((C35-B35)/B35, "+0%;-0%")</f>
        <v>+8%</v>
      </c>
      <c r="E35" s="1"/>
      <c r="F35" s="15">
        <v>12</v>
      </c>
      <c r="H35" s="8">
        <v>14.4</v>
      </c>
      <c r="I35" s="8">
        <v>15.3</v>
      </c>
      <c r="J35" s="9" t="str">
        <f>TEXT((I35-H35)/H35, "+0%;-0%")</f>
        <v>+6%</v>
      </c>
      <c r="L35" s="15">
        <v>12</v>
      </c>
    </row>
    <row r="36" spans="1:13" ht="15.75" customHeight="1" x14ac:dyDescent="0.15">
      <c r="A36" s="12" t="s">
        <v>21</v>
      </c>
      <c r="B36" s="8"/>
      <c r="C36" s="8"/>
      <c r="D36" s="9"/>
      <c r="E36" s="1"/>
      <c r="F36" s="1"/>
      <c r="H36" s="8"/>
      <c r="I36" s="8"/>
      <c r="J36" s="13"/>
      <c r="L36" s="1"/>
    </row>
    <row r="37" spans="1:13" ht="15.75" customHeight="1" x14ac:dyDescent="0.15">
      <c r="A37" s="2"/>
      <c r="B37" s="8"/>
      <c r="C37" s="8"/>
      <c r="D37" s="9"/>
      <c r="E37" s="1"/>
      <c r="F37" s="1"/>
      <c r="H37" s="8"/>
      <c r="I37" s="8"/>
      <c r="J37" s="13"/>
      <c r="L37" s="1"/>
    </row>
    <row r="38" spans="1:13" ht="15.75" customHeight="1" x14ac:dyDescent="0.15">
      <c r="A38" s="7" t="s">
        <v>22</v>
      </c>
      <c r="B38" s="8">
        <v>12.3</v>
      </c>
      <c r="C38" s="8">
        <v>12.6</v>
      </c>
      <c r="D38" s="9" t="str">
        <f>TEXT((C38-B38)/B38, "+0%;-0%")</f>
        <v>+2%</v>
      </c>
      <c r="E38" s="1"/>
      <c r="F38" s="1">
        <v>12</v>
      </c>
      <c r="H38" s="8">
        <v>12.2</v>
      </c>
      <c r="I38" s="8">
        <v>12.4</v>
      </c>
      <c r="J38" s="9" t="str">
        <f>TEXT((I38-H38)/H38, "+0%;-0%")</f>
        <v>+2%</v>
      </c>
      <c r="L38" s="1">
        <v>12</v>
      </c>
    </row>
    <row r="39" spans="1:13" ht="15.75" customHeight="1" x14ac:dyDescent="0.15">
      <c r="A39" s="12" t="s">
        <v>23</v>
      </c>
      <c r="B39" s="8"/>
      <c r="C39" s="8"/>
      <c r="D39" s="9"/>
      <c r="E39" s="1"/>
      <c r="F39" s="1"/>
      <c r="H39" s="8"/>
      <c r="I39" s="8"/>
      <c r="J39" s="13"/>
      <c r="L39" s="1"/>
    </row>
    <row r="40" spans="1:13" ht="15.75" customHeight="1" x14ac:dyDescent="0.15">
      <c r="A40" s="2"/>
      <c r="B40" s="8"/>
      <c r="C40" s="8"/>
      <c r="D40" s="9"/>
      <c r="E40" s="1"/>
      <c r="F40" s="1"/>
      <c r="H40" s="8"/>
      <c r="I40" s="8"/>
      <c r="J40" s="13"/>
      <c r="L40" s="1"/>
    </row>
    <row r="41" spans="1:13" ht="15.75" customHeight="1" x14ac:dyDescent="0.15">
      <c r="A41" s="7" t="s">
        <v>24</v>
      </c>
      <c r="B41" s="8">
        <v>12.2</v>
      </c>
      <c r="C41" s="8">
        <v>12.2</v>
      </c>
      <c r="D41" s="9" t="str">
        <f>TEXT((C41-B41)/B41, "+0%;-0%")</f>
        <v>+0%</v>
      </c>
      <c r="E41" s="1"/>
      <c r="F41" s="1">
        <v>12</v>
      </c>
      <c r="H41" s="8">
        <v>12.2</v>
      </c>
      <c r="I41" s="8">
        <v>12.3</v>
      </c>
      <c r="J41" s="9" t="str">
        <f>TEXT((I41-H41)/H41, "+0%;-0%")</f>
        <v>+1%</v>
      </c>
      <c r="L41" s="1">
        <v>12</v>
      </c>
    </row>
    <row r="42" spans="1:13" ht="15.75" customHeight="1" x14ac:dyDescent="0.15">
      <c r="A42" s="12" t="s">
        <v>25</v>
      </c>
      <c r="B42" s="1"/>
      <c r="C42" s="1"/>
      <c r="D42" s="9"/>
      <c r="E42" s="1"/>
      <c r="G42" s="1"/>
      <c r="H42" s="1"/>
      <c r="I42" s="1"/>
      <c r="J42" s="13"/>
      <c r="M42" s="1"/>
    </row>
  </sheetData>
  <mergeCells count="3">
    <mergeCell ref="H4:K4"/>
    <mergeCell ref="A1:E1"/>
    <mergeCell ref="B4:E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Kloythanomsup</cp:lastModifiedBy>
  <dcterms:created xsi:type="dcterms:W3CDTF">2026-02-03T20:30:57Z</dcterms:created>
  <dcterms:modified xsi:type="dcterms:W3CDTF">2026-02-03T20:33:50Z</dcterms:modified>
</cp:coreProperties>
</file>